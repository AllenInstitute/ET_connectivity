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ell_models"/>
    <sheet r:id="rId2" sheetId="2" name="general_parameters"/>
  </sheets>
  <calcPr fullCalcOnLoad="1"/>
</workbook>
</file>

<file path=xl/sharedStrings.xml><?xml version="1.0" encoding="utf-8"?>
<sst xmlns="http://schemas.openxmlformats.org/spreadsheetml/2006/main" count="49" uniqueCount="45">
  <si>
    <t>properties</t>
  </si>
  <si>
    <t>values</t>
  </si>
  <si>
    <t>radius</t>
  </si>
  <si>
    <t>core_radius</t>
  </si>
  <si>
    <t>pop_id</t>
  </si>
  <si>
    <t>pop_name</t>
  </si>
  <si>
    <t>location</t>
  </si>
  <si>
    <t>ei</t>
  </si>
  <si>
    <t>cre_line</t>
  </si>
  <si>
    <t>reporter_status</t>
  </si>
  <si>
    <t>me_type</t>
  </si>
  <si>
    <t>upper_bound</t>
  </si>
  <si>
    <t>lower_bound</t>
  </si>
  <si>
    <t>Relative fraction within ei</t>
  </si>
  <si>
    <t>base core cell number</t>
  </si>
  <si>
    <t>inhibitory fraction</t>
  </si>
  <si>
    <t>pop_core_count</t>
  </si>
  <si>
    <t>pop_peripheral_count</t>
  </si>
  <si>
    <t>pop_combined_count</t>
  </si>
  <si>
    <t>nsyn_lognorm_shape</t>
  </si>
  <si>
    <t>nsyn_lognorm_scale</t>
  </si>
  <si>
    <t>e5ET</t>
  </si>
  <si>
    <t>VisL5</t>
  </si>
  <si>
    <t>e</t>
  </si>
  <si>
    <t>ME_Exc_1</t>
  </si>
  <si>
    <t>i5Pvalb</t>
  </si>
  <si>
    <t>i</t>
  </si>
  <si>
    <t>Pvalb-IRES</t>
  </si>
  <si>
    <t>positive</t>
  </si>
  <si>
    <t>i5Sst</t>
  </si>
  <si>
    <t>Sst</t>
  </si>
  <si>
    <t>Layer</t>
  </si>
  <si>
    <t>Layer thicknesses</t>
  </si>
  <si>
    <t>Layer boundaries</t>
  </si>
  <si>
    <t>Domain</t>
  </si>
  <si>
    <t>core</t>
  </si>
  <si>
    <t>peripheral</t>
  </si>
  <si>
    <t>neuropil</t>
  </si>
  <si>
    <t>radius (mm)</t>
  </si>
  <si>
    <t>L1</t>
  </si>
  <si>
    <t>area (mm^2)</t>
  </si>
  <si>
    <t>L23</t>
  </si>
  <si>
    <t>L4</t>
  </si>
  <si>
    <t>L5</t>
  </si>
  <si>
    <t>L6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</si>
</sst>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3"/>
  <sheetViews>
    <sheetView workbookViewId="0" tabSelected="1"/>
  </sheetViews>
  <sheetFormatPr defaultRowHeight="15" x14ac:dyDescent="0.25"/>
  <cols>
    <col min="1" max="1" style="10" width="7.2907142857142855" customWidth="1" bestFit="1"/>
    <col min="2" max="2" style="5" width="12.862142857142858" customWidth="1" bestFit="1"/>
    <col min="3" max="3" style="11" width="9.147857142857141" customWidth="1" bestFit="1"/>
    <col min="4" max="4" style="12" width="5.147857142857143" customWidth="1" bestFit="1"/>
    <col min="5" max="5" style="12" width="19.005" customWidth="1" bestFit="1"/>
    <col min="6" max="6" style="12" width="14.719285714285713" customWidth="1" bestFit="1"/>
    <col min="7" max="7" style="12" width="14.719285714285713" customWidth="1" bestFit="1"/>
    <col min="8" max="8" style="5" width="12.290714285714287" customWidth="1" bestFit="1"/>
    <col min="9" max="9" style="5" width="13.005" customWidth="1" bestFit="1"/>
    <col min="10" max="10" style="13" width="23.14785714285714" customWidth="1" bestFit="1"/>
    <col min="11" max="11" style="13" width="19.862142857142857" customWidth="1" bestFit="1"/>
    <col min="12" max="12" style="13" width="19.290714285714284" customWidth="1" bestFit="1"/>
    <col min="13" max="13" style="5" width="14.862142857142858" customWidth="1" bestFit="1"/>
    <col min="14" max="14" style="5" width="19.14785714285714" customWidth="1" bestFit="1"/>
    <col min="15" max="15" style="5" width="19.576428571428572" customWidth="1" bestFit="1"/>
    <col min="16" max="16" style="13" width="12.43357142857143" customWidth="1" bestFit="1"/>
    <col min="17" max="17" style="13" width="13.147857142857141" customWidth="1" bestFit="1"/>
  </cols>
  <sheetData>
    <row x14ac:dyDescent="0.25" r="1" customHeight="1" ht="19.5">
      <c r="A1" s="2" t="s">
        <v>4</v>
      </c>
      <c r="B1" s="2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2" t="s">
        <v>12</v>
      </c>
      <c r="J1" s="6" t="s">
        <v>13</v>
      </c>
      <c r="K1" s="6" t="s">
        <v>14</v>
      </c>
      <c r="L1" s="6" t="s">
        <v>15</v>
      </c>
      <c r="M1" s="2" t="s">
        <v>16</v>
      </c>
      <c r="N1" s="2" t="s">
        <v>17</v>
      </c>
      <c r="O1" s="2" t="s">
        <v>18</v>
      </c>
      <c r="P1" s="6" t="s">
        <v>19</v>
      </c>
      <c r="Q1" s="6" t="s">
        <v>20</v>
      </c>
    </row>
    <row x14ac:dyDescent="0.25" r="2" customHeight="1" ht="19.5">
      <c r="A2" s="3">
        <v>13</v>
      </c>
      <c r="B2" s="2" t="s">
        <v>21</v>
      </c>
      <c r="C2" s="1" t="s">
        <v>22</v>
      </c>
      <c r="D2" s="1" t="s">
        <v>23</v>
      </c>
      <c r="E2" s="7"/>
      <c r="F2" s="7"/>
      <c r="G2" s="1" t="s">
        <v>24</v>
      </c>
      <c r="H2" s="3">
        <v>505</v>
      </c>
      <c r="I2" s="3">
        <v>665</v>
      </c>
      <c r="J2" s="8">
        <v>0.26</v>
      </c>
      <c r="K2" s="3">
        <v>11561</v>
      </c>
      <c r="L2" s="8">
        <v>0.19</v>
      </c>
      <c r="M2" s="3">
        <v>2435</v>
      </c>
      <c r="N2" s="3">
        <v>8432</v>
      </c>
      <c r="O2" s="3">
        <v>10867</v>
      </c>
      <c r="P2" s="8">
        <v>0.424</v>
      </c>
      <c r="Q2" s="8">
        <v>7406.546</v>
      </c>
    </row>
    <row x14ac:dyDescent="0.25" r="3" customHeight="1" ht="19.5">
      <c r="A3" s="3">
        <v>15</v>
      </c>
      <c r="B3" s="2" t="s">
        <v>25</v>
      </c>
      <c r="C3" s="1" t="s">
        <v>22</v>
      </c>
      <c r="D3" s="1" t="s">
        <v>26</v>
      </c>
      <c r="E3" s="1" t="s">
        <v>27</v>
      </c>
      <c r="F3" s="1" t="s">
        <v>28</v>
      </c>
      <c r="G3" s="7"/>
      <c r="H3" s="3">
        <v>505</v>
      </c>
      <c r="I3" s="3">
        <v>665</v>
      </c>
      <c r="J3" s="8">
        <v>0.49</v>
      </c>
      <c r="K3" s="3">
        <v>11561</v>
      </c>
      <c r="L3" s="8">
        <v>0.19</v>
      </c>
      <c r="M3" s="3">
        <v>1067</v>
      </c>
      <c r="N3" s="3">
        <v>3695</v>
      </c>
      <c r="O3" s="3">
        <v>4762</v>
      </c>
      <c r="P3" s="8">
        <v>0.433</v>
      </c>
      <c r="Q3" s="8">
        <v>7432.587</v>
      </c>
    </row>
    <row x14ac:dyDescent="0.25" r="4" customHeight="1" ht="19.5">
      <c r="A4" s="3">
        <v>16</v>
      </c>
      <c r="B4" s="2" t="s">
        <v>29</v>
      </c>
      <c r="C4" s="1" t="s">
        <v>22</v>
      </c>
      <c r="D4" s="1" t="s">
        <v>26</v>
      </c>
      <c r="E4" s="1" t="s">
        <v>30</v>
      </c>
      <c r="F4" s="1" t="s">
        <v>28</v>
      </c>
      <c r="G4" s="7"/>
      <c r="H4" s="3">
        <v>505</v>
      </c>
      <c r="I4" s="3">
        <v>665</v>
      </c>
      <c r="J4" s="8">
        <v>0.43</v>
      </c>
      <c r="K4" s="3">
        <v>11561</v>
      </c>
      <c r="L4" s="8">
        <v>0.19</v>
      </c>
      <c r="M4" s="3">
        <v>941</v>
      </c>
      <c r="N4" s="3">
        <v>3258</v>
      </c>
      <c r="O4" s="3">
        <v>4199</v>
      </c>
      <c r="P4" s="8">
        <v>0.55</v>
      </c>
      <c r="Q4" s="8">
        <v>5305.151</v>
      </c>
    </row>
    <row x14ac:dyDescent="0.25" r="5" customHeight="1" ht="19.5">
      <c r="A5" s="3"/>
      <c r="B5" s="3"/>
      <c r="C5" s="3"/>
      <c r="D5" s="7"/>
      <c r="E5" s="7"/>
      <c r="F5" s="7"/>
      <c r="G5" s="7"/>
      <c r="H5" s="3"/>
      <c r="I5" s="3"/>
      <c r="J5" s="9"/>
      <c r="K5" s="9"/>
      <c r="L5" s="8"/>
      <c r="M5" s="3"/>
      <c r="N5" s="3"/>
      <c r="O5" s="3"/>
      <c r="P5" s="8"/>
      <c r="Q5" s="8"/>
    </row>
    <row x14ac:dyDescent="0.25" r="6" customHeight="1" ht="19.5">
      <c r="A6" s="3"/>
      <c r="B6" s="3"/>
      <c r="C6" s="3"/>
      <c r="D6" s="7"/>
      <c r="E6" s="7"/>
      <c r="F6" s="7"/>
      <c r="G6" s="7"/>
      <c r="H6" s="3"/>
      <c r="I6" s="3"/>
      <c r="J6" s="9"/>
      <c r="K6" s="9"/>
      <c r="L6" s="8"/>
      <c r="M6" s="3">
        <f>sum(M2:M4)</f>
      </c>
      <c r="N6" s="3">
        <f>sum(N2:N4)</f>
      </c>
      <c r="O6" s="3">
        <f>sum(O2:O4)</f>
      </c>
      <c r="P6" s="8"/>
      <c r="Q6" s="8"/>
    </row>
    <row x14ac:dyDescent="0.25" r="7" customHeight="1" ht="19.5">
      <c r="A7" s="3"/>
      <c r="B7" s="3"/>
      <c r="C7" s="3"/>
      <c r="D7" s="7"/>
      <c r="E7" s="7"/>
      <c r="F7" s="7"/>
      <c r="G7" s="7"/>
      <c r="H7" s="3"/>
      <c r="I7" s="3"/>
      <c r="J7" s="9"/>
      <c r="K7" s="9"/>
      <c r="L7" s="8"/>
      <c r="M7" s="3"/>
      <c r="N7" s="3"/>
      <c r="O7" s="3"/>
      <c r="P7" s="8"/>
      <c r="Q7" s="8"/>
    </row>
    <row x14ac:dyDescent="0.25" r="8" customHeight="1" ht="19.5">
      <c r="A8" s="3"/>
      <c r="B8" s="3"/>
      <c r="C8" s="3"/>
      <c r="D8" s="7"/>
      <c r="E8" s="7"/>
      <c r="F8" s="7"/>
      <c r="G8" s="7"/>
      <c r="H8" s="3"/>
      <c r="I8" s="3"/>
      <c r="J8" s="9"/>
      <c r="K8" s="9"/>
      <c r="L8" s="8"/>
      <c r="M8" s="3"/>
      <c r="N8" s="3"/>
      <c r="O8" s="3"/>
      <c r="P8" s="8"/>
      <c r="Q8" s="8"/>
    </row>
    <row x14ac:dyDescent="0.25" r="9" customHeight="1" ht="19.5">
      <c r="A9" s="3"/>
      <c r="B9" s="3"/>
      <c r="C9" s="3"/>
      <c r="D9" s="7"/>
      <c r="E9" s="7"/>
      <c r="F9" s="7"/>
      <c r="G9" s="7"/>
      <c r="H9" s="3"/>
      <c r="I9" s="3"/>
      <c r="J9" s="9"/>
      <c r="K9" s="9"/>
      <c r="L9" s="8"/>
      <c r="M9" s="3"/>
      <c r="N9" s="3"/>
      <c r="O9" s="3"/>
      <c r="P9" s="8"/>
      <c r="Q9" s="8"/>
    </row>
    <row x14ac:dyDescent="0.25" r="10" customHeight="1" ht="19.5">
      <c r="A10" s="3"/>
      <c r="B10" s="3"/>
      <c r="C10" s="3"/>
      <c r="D10" s="7"/>
      <c r="E10" s="7"/>
      <c r="F10" s="7"/>
      <c r="G10" s="7"/>
      <c r="H10" s="3"/>
      <c r="I10" s="3"/>
      <c r="J10" s="9"/>
      <c r="K10" s="9"/>
      <c r="L10" s="8"/>
      <c r="M10" s="3"/>
      <c r="N10" s="3"/>
      <c r="O10" s="3"/>
      <c r="P10" s="8"/>
      <c r="Q10" s="8"/>
    </row>
    <row x14ac:dyDescent="0.25" r="11" customHeight="1" ht="19.5">
      <c r="A11" s="3"/>
      <c r="B11" s="3"/>
      <c r="C11" s="3"/>
      <c r="D11" s="7"/>
      <c r="E11" s="7"/>
      <c r="F11" s="7"/>
      <c r="G11" s="7"/>
      <c r="H11" s="3"/>
      <c r="I11" s="3"/>
      <c r="J11" s="9"/>
      <c r="K11" s="9"/>
      <c r="L11" s="8"/>
      <c r="M11" s="3"/>
      <c r="N11" s="3"/>
      <c r="O11" s="3"/>
      <c r="P11" s="8"/>
      <c r="Q11" s="8"/>
    </row>
    <row x14ac:dyDescent="0.25" r="12" customHeight="1" ht="19.5">
      <c r="A12" s="3"/>
      <c r="B12" s="3"/>
      <c r="C12" s="3"/>
      <c r="D12" s="7"/>
      <c r="E12" s="7"/>
      <c r="F12" s="7"/>
      <c r="G12" s="7"/>
      <c r="H12" s="3"/>
      <c r="I12" s="3"/>
      <c r="J12" s="9"/>
      <c r="K12" s="9"/>
      <c r="L12" s="8"/>
      <c r="M12" s="3"/>
      <c r="N12" s="3"/>
      <c r="O12" s="3"/>
      <c r="P12" s="8"/>
      <c r="Q12" s="8"/>
    </row>
    <row x14ac:dyDescent="0.25" r="13" customHeight="1" ht="19.5">
      <c r="A13" s="3"/>
      <c r="B13" s="3"/>
      <c r="C13" s="3"/>
      <c r="D13" s="7"/>
      <c r="E13" s="7"/>
      <c r="F13" s="7"/>
      <c r="G13" s="7"/>
      <c r="H13" s="3"/>
      <c r="I13" s="3"/>
      <c r="J13" s="9"/>
      <c r="K13" s="9"/>
      <c r="L13" s="8"/>
      <c r="M13" s="3"/>
      <c r="N13" s="3"/>
      <c r="O13" s="3"/>
      <c r="P13" s="8"/>
      <c r="Q13" s="8"/>
    </row>
    <row x14ac:dyDescent="0.25" r="14" customHeight="1" ht="19.5">
      <c r="A14" s="3"/>
      <c r="B14" s="3"/>
      <c r="C14" s="3"/>
      <c r="D14" s="7"/>
      <c r="E14" s="7"/>
      <c r="F14" s="7"/>
      <c r="G14" s="7"/>
      <c r="H14" s="3"/>
      <c r="I14" s="3"/>
      <c r="J14" s="9"/>
      <c r="K14" s="9"/>
      <c r="L14" s="8"/>
      <c r="M14" s="3"/>
      <c r="N14" s="3"/>
      <c r="O14" s="3"/>
      <c r="P14" s="8"/>
      <c r="Q14" s="8"/>
    </row>
    <row x14ac:dyDescent="0.25" r="15" customHeight="1" ht="19.5">
      <c r="A15" s="3"/>
      <c r="B15" s="3"/>
      <c r="C15" s="3"/>
      <c r="D15" s="7"/>
      <c r="E15" s="7"/>
      <c r="F15" s="7"/>
      <c r="G15" s="7"/>
      <c r="H15" s="3"/>
      <c r="I15" s="3"/>
      <c r="J15" s="9"/>
      <c r="K15" s="9"/>
      <c r="L15" s="8"/>
      <c r="M15" s="3"/>
      <c r="N15" s="3"/>
      <c r="O15" s="3"/>
      <c r="P15" s="8"/>
      <c r="Q15" s="8"/>
    </row>
    <row x14ac:dyDescent="0.25" r="16" customHeight="1" ht="19.5">
      <c r="A16" s="3"/>
      <c r="B16" s="3"/>
      <c r="C16" s="3"/>
      <c r="D16" s="7"/>
      <c r="E16" s="7"/>
      <c r="F16" s="7"/>
      <c r="G16" s="7"/>
      <c r="H16" s="3"/>
      <c r="I16" s="3"/>
      <c r="J16" s="9"/>
      <c r="K16" s="9"/>
      <c r="L16" s="8"/>
      <c r="M16" s="3"/>
      <c r="N16" s="3"/>
      <c r="O16" s="3"/>
      <c r="P16" s="8"/>
      <c r="Q16" s="8"/>
    </row>
    <row x14ac:dyDescent="0.25" r="17" customHeight="1" ht="19.5">
      <c r="A17" s="2" t="s">
        <v>31</v>
      </c>
      <c r="B17" s="2" t="s">
        <v>32</v>
      </c>
      <c r="C17" s="1" t="s">
        <v>33</v>
      </c>
      <c r="D17" s="7"/>
      <c r="E17" s="7"/>
      <c r="F17" s="7"/>
      <c r="G17" s="7"/>
      <c r="H17" s="3"/>
      <c r="I17" s="2" t="s">
        <v>34</v>
      </c>
      <c r="J17" s="6" t="s">
        <v>35</v>
      </c>
      <c r="K17" s="6" t="s">
        <v>36</v>
      </c>
      <c r="L17" s="8"/>
      <c r="M17" s="3"/>
      <c r="N17" s="3"/>
      <c r="O17" s="3"/>
      <c r="P17" s="8"/>
      <c r="Q17" s="8"/>
    </row>
    <row x14ac:dyDescent="0.25" r="18" customHeight="1" ht="19.5">
      <c r="A18" s="2" t="s">
        <v>37</v>
      </c>
      <c r="B18" s="3">
        <v>50</v>
      </c>
      <c r="C18" s="3">
        <f>sum($B$18:$B18)</f>
      </c>
      <c r="D18" s="7"/>
      <c r="E18" s="7"/>
      <c r="F18" s="7"/>
      <c r="G18" s="7"/>
      <c r="H18" s="3"/>
      <c r="I18" s="2" t="s">
        <v>38</v>
      </c>
      <c r="J18" s="8">
        <v>0.4</v>
      </c>
      <c r="K18" s="8">
        <v>0.845</v>
      </c>
      <c r="L18" s="8"/>
      <c r="M18" s="3"/>
      <c r="N18" s="3"/>
      <c r="O18" s="3"/>
      <c r="P18" s="8"/>
      <c r="Q18" s="8"/>
    </row>
    <row x14ac:dyDescent="0.25" r="19" customHeight="1" ht="19.5">
      <c r="A19" s="2" t="s">
        <v>39</v>
      </c>
      <c r="B19" s="3">
        <v>119</v>
      </c>
      <c r="C19" s="3">
        <f>sum($B$18:$B19)</f>
      </c>
      <c r="D19" s="7"/>
      <c r="E19" s="7"/>
      <c r="F19" s="7"/>
      <c r="G19" s="7"/>
      <c r="H19" s="3"/>
      <c r="I19" s="2" t="s">
        <v>40</v>
      </c>
      <c r="J19" s="9">
        <f>J18^2*pi()</f>
      </c>
      <c r="K19" s="9">
        <f>K18^2*pi()-J18^2*pi()</f>
      </c>
      <c r="L19" s="8"/>
      <c r="M19" s="3"/>
      <c r="N19" s="3"/>
      <c r="O19" s="3"/>
      <c r="P19" s="8"/>
      <c r="Q19" s="8"/>
    </row>
    <row x14ac:dyDescent="0.25" r="20" customHeight="1" ht="19.5">
      <c r="A20" s="2" t="s">
        <v>41</v>
      </c>
      <c r="B20" s="3">
        <v>188</v>
      </c>
      <c r="C20" s="3">
        <f>sum($B$18:$B20)</f>
      </c>
      <c r="D20" s="7"/>
      <c r="E20" s="7"/>
      <c r="F20" s="7"/>
      <c r="G20" s="7"/>
      <c r="H20" s="3"/>
      <c r="I20" s="3"/>
      <c r="J20" s="9"/>
      <c r="K20" s="9"/>
      <c r="L20" s="8"/>
      <c r="M20" s="3"/>
      <c r="N20" s="3"/>
      <c r="O20" s="3"/>
      <c r="P20" s="8"/>
      <c r="Q20" s="8"/>
    </row>
    <row x14ac:dyDescent="0.25" r="21" customHeight="1" ht="19.5">
      <c r="A21" s="2" t="s">
        <v>42</v>
      </c>
      <c r="B21" s="3">
        <v>148</v>
      </c>
      <c r="C21" s="3">
        <f>sum($B$18:$B21)</f>
      </c>
      <c r="D21" s="7"/>
      <c r="E21" s="7"/>
      <c r="F21" s="7"/>
      <c r="G21" s="7"/>
      <c r="H21" s="3"/>
      <c r="I21" s="3"/>
      <c r="J21" s="9"/>
      <c r="K21" s="9"/>
      <c r="L21" s="8"/>
      <c r="M21" s="3"/>
      <c r="N21" s="3"/>
      <c r="O21" s="3"/>
      <c r="P21" s="8"/>
      <c r="Q21" s="8"/>
    </row>
    <row x14ac:dyDescent="0.25" r="22" customHeight="1" ht="19.5">
      <c r="A22" s="2" t="s">
        <v>43</v>
      </c>
      <c r="B22" s="3">
        <v>160</v>
      </c>
      <c r="C22" s="3">
        <f>sum($B$18:$B22)</f>
      </c>
      <c r="D22" s="7"/>
      <c r="E22" s="7"/>
      <c r="F22" s="7"/>
      <c r="G22" s="7"/>
      <c r="H22" s="3"/>
      <c r="I22" s="3"/>
      <c r="J22" s="9"/>
      <c r="K22" s="9"/>
      <c r="L22" s="8"/>
      <c r="M22" s="3"/>
      <c r="N22" s="3"/>
      <c r="O22" s="3"/>
      <c r="P22" s="8"/>
      <c r="Q22" s="8"/>
    </row>
    <row x14ac:dyDescent="0.25" r="23" customHeight="1" ht="19.5">
      <c r="A23" s="2" t="s">
        <v>44</v>
      </c>
      <c r="B23" s="3">
        <v>164</v>
      </c>
      <c r="C23" s="3">
        <f>sum($B$18:$B23)</f>
      </c>
      <c r="D23" s="7"/>
      <c r="E23" s="7"/>
      <c r="F23" s="7"/>
      <c r="G23" s="7"/>
      <c r="H23" s="3"/>
      <c r="I23" s="3"/>
      <c r="J23" s="9"/>
      <c r="K23" s="9"/>
      <c r="L23" s="8"/>
      <c r="M23" s="3"/>
      <c r="N23" s="3"/>
      <c r="O23" s="3"/>
      <c r="P23" s="8"/>
      <c r="Q2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4" width="19.290714285714284" customWidth="1" bestFit="1"/>
    <col min="2" max="2" style="5" width="20.719285714285714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1" t="s">
        <v>2</v>
      </c>
      <c r="B2" s="3">
        <v>845</v>
      </c>
    </row>
    <row x14ac:dyDescent="0.25" r="3" customHeight="1" ht="17.25">
      <c r="A3" s="1" t="s">
        <v>3</v>
      </c>
      <c r="B3" s="3">
        <v>400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cell_models</vt:lpstr>
      <vt:lpstr>general_parameters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2023-06-07T18:50:30.632Z</dcterms:created>
  <dcterms:modified xsi:type="dcterms:W3CDTF">2023-06-07T18:50:30.632Z</dcterms:modified>
</cp:coreProperties>
</file>